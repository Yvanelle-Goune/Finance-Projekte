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ane\Downloads\"/>
    </mc:Choice>
  </mc:AlternateContent>
  <xr:revisionPtr revIDLastSave="0" documentId="8_{78AC69C2-32FF-4B70-ABE7-C2F6ABD049C0}" xr6:coauthVersionLast="47" xr6:coauthVersionMax="47" xr10:uidLastSave="{00000000-0000-0000-0000-000000000000}"/>
  <bookViews>
    <workbookView xWindow="-110" yWindow="-110" windowWidth="19420" windowHeight="10300" firstSheet="1" activeTab="1" xr2:uid="{D853CCD9-93B0-493E-A204-E123B05D4883}"/>
  </bookViews>
  <sheets>
    <sheet name="Kostenrechnung" sheetId="1" r:id="rId1"/>
    <sheet name="Auswertu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  <c r="B7" i="2"/>
  <c r="B4" i="2"/>
  <c r="B5" i="2"/>
  <c r="B3" i="2"/>
  <c r="B2" i="2"/>
  <c r="J15" i="1"/>
  <c r="I15" i="1"/>
  <c r="H15" i="1"/>
  <c r="G15" i="1"/>
  <c r="F15" i="1"/>
  <c r="E15" i="1"/>
  <c r="D15" i="1"/>
  <c r="C15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  <c r="C3" i="2" l="1"/>
  <c r="C5" i="2"/>
  <c r="C2" i="2"/>
  <c r="C4" i="2"/>
</calcChain>
</file>

<file path=xl/sharedStrings.xml><?xml version="1.0" encoding="utf-8"?>
<sst xmlns="http://schemas.openxmlformats.org/spreadsheetml/2006/main" count="43" uniqueCount="18">
  <si>
    <t>Kostenstelle</t>
  </si>
  <si>
    <t>Kostenart</t>
  </si>
  <si>
    <t>Januar</t>
  </si>
  <si>
    <t>Februar</t>
  </si>
  <si>
    <t>März</t>
  </si>
  <si>
    <t>April</t>
  </si>
  <si>
    <t>Mai</t>
  </si>
  <si>
    <t>Juni</t>
  </si>
  <si>
    <t>Gesamt</t>
  </si>
  <si>
    <t>Anteil(%)</t>
  </si>
  <si>
    <t>Beherbergung</t>
  </si>
  <si>
    <t>Gastronomie</t>
  </si>
  <si>
    <t>Wellness&amp;Spa</t>
  </si>
  <si>
    <t>Verwaltung</t>
  </si>
  <si>
    <t>Personalkosten</t>
  </si>
  <si>
    <t>Sachkosten</t>
  </si>
  <si>
    <t>Energiekosten</t>
  </si>
  <si>
    <t>Gesamtkosten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</si>
</sst>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</fills>
  <borders count="2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2" fillId="2" borderId="1" xfId="0" applyFont="1" applyFill="1" applyBorder="1"/>
  </cellXfs>
  <cellStyles count="2">
    <cellStyle name="Prozent" xfId="1" builtinId="5"/>
    <cellStyle name="Standard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Kostenverteilung nach Abteilung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Auswertung!$B$1</c:f>
              <c:strCache>
                <c:ptCount val="1"/>
                <c:pt idx="0">
                  <c:v>Gesamtkosten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Auswertung!$A$2:$A$5</c:f>
              <c:strCache>
                <c:ptCount val="4"/>
                <c:pt idx="0">
                  <c:v>Beherbergung</c:v>
                </c:pt>
                <c:pt idx="1">
                  <c:v>Gastronomie</c:v>
                </c:pt>
                <c:pt idx="2">
                  <c:v>Wellness&amp;Spa</c:v>
                </c:pt>
                <c:pt idx="3">
                  <c:v>Verwaltung</c:v>
                </c:pt>
              </c:strCache>
            </c:strRef>
          </c:cat>
          <c:val>
            <c:numRef>
              <c:f>Auswertung!$B$2:$B$5</c:f>
              <c:numCache>
                <c:formatCode>General</c:formatCode>
                <c:ptCount val="4"/>
                <c:pt idx="0">
                  <c:v>119400</c:v>
                </c:pt>
                <c:pt idx="1">
                  <c:v>106800</c:v>
                </c:pt>
                <c:pt idx="2">
                  <c:v>58650</c:v>
                </c:pt>
                <c:pt idx="3">
                  <c:v>49230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6-4088-906A-A3600A6BBA4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962025</xdr:colOff>
      <xdr:row>1</xdr:row>
      <xdr:rowOff>76200</xdr:rowOff>
    </xdr:from>
    <xdr:to>
      <xdr:col>9</xdr:col>
      <xdr:colOff>962025</xdr:colOff>
      <xdr:row>16</xdr:row>
      <xdr:rowOff>57150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6825E77-CEB6-B552-B184-9AAF2F282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A979E4-7781-439B-8212-CDF21E288D4F}" name="Tabelle1" displayName="Tabelle1" ref="A1:J15" totalsRowShown="0" headerRowDxfId="0">
  <autoFilter ref="A1:J15" xr:uid="{A9A979E4-7781-439B-8212-CDF21E288D4F}"/>
  <tableColumns count="10">
    <tableColumn id="1" xr3:uid="{13A697B0-3E46-4A78-BECC-9554E82AFB23}" name="Kostenstelle"/>
    <tableColumn id="2" xr3:uid="{8E102AA2-7370-4042-868A-073207CA374A}" name="Kostenart"/>
    <tableColumn id="3" xr3:uid="{4483D3F3-8CA8-4627-A219-16FDAC8E798F}" name="Januar"/>
    <tableColumn id="4" xr3:uid="{A6B5EE6F-B85D-42AB-A7CF-93614DC9D7D7}" name="Februar"/>
    <tableColumn id="5" xr3:uid="{0D4875A2-AF87-4C45-A43D-965515C7DB70}" name="März"/>
    <tableColumn id="6" xr3:uid="{6C9B3A0C-9F19-4F05-9336-BA9DAB632C39}" name="April"/>
    <tableColumn id="7" xr3:uid="{D230CE40-7FA4-43EF-AC73-0902C5EFB787}" name="Mai"/>
    <tableColumn id="8" xr3:uid="{8CDEC717-2490-4537-8E67-664E997A94D1}" name="Juni"/>
    <tableColumn id="9" xr3:uid="{CF9254EB-D16A-4453-8752-BB04CC40A2F3}" name="Gesamt"/>
    <tableColumn id="10" xr3:uid="{619C8975-F7A1-43A3-8C87-BC640D413B46}" name="Anteil(%)" dataDxfId="1" dataCellStyle="Prozent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6B549-0E75-4ECD-A6C1-5C28E3969D46}">
  <dimension ref="A1:J16"/>
  <sheetViews>
    <sheetView workbookViewId="0">
      <selection activeCell="A9" sqref="A9"/>
    </sheetView>
  </sheetViews>
  <sheetFormatPr baseColWidth="10" defaultColWidth="18.1796875" defaultRowHeight="14.5" x14ac:dyDescent="0.35"/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t="s">
        <v>10</v>
      </c>
      <c r="B2" t="s">
        <v>14</v>
      </c>
      <c r="C2">
        <v>12000</v>
      </c>
      <c r="D2">
        <v>12000</v>
      </c>
      <c r="E2">
        <v>13500</v>
      </c>
      <c r="F2">
        <v>14000</v>
      </c>
      <c r="G2">
        <v>15000</v>
      </c>
      <c r="H2">
        <v>16000</v>
      </c>
      <c r="I2">
        <f>SUM(C2:H2)</f>
        <v>82500</v>
      </c>
      <c r="J2" s="1">
        <f>I2/SUM($I$2:$I$13)</f>
        <v>0.24694683908045978</v>
      </c>
    </row>
    <row r="3" spans="1:10" x14ac:dyDescent="0.35">
      <c r="A3" t="s">
        <v>10</v>
      </c>
      <c r="B3" t="s">
        <v>15</v>
      </c>
      <c r="C3">
        <v>3500</v>
      </c>
      <c r="D3">
        <v>3200</v>
      </c>
      <c r="E3">
        <v>3800</v>
      </c>
      <c r="F3">
        <v>4100</v>
      </c>
      <c r="G3">
        <v>4500</v>
      </c>
      <c r="H3">
        <v>4800</v>
      </c>
      <c r="I3">
        <f t="shared" ref="I3:I13" si="0">SUM(C3:H3)</f>
        <v>23900</v>
      </c>
      <c r="J3" s="1">
        <f t="shared" ref="J3:J13" si="1">I3/SUM($I$2:$I$13)</f>
        <v>7.1539750957854406E-2</v>
      </c>
    </row>
    <row r="4" spans="1:10" x14ac:dyDescent="0.35">
      <c r="A4" t="s">
        <v>10</v>
      </c>
      <c r="B4" t="s">
        <v>16</v>
      </c>
      <c r="C4">
        <v>2800</v>
      </c>
      <c r="D4">
        <v>2600</v>
      </c>
      <c r="E4">
        <v>2200</v>
      </c>
      <c r="F4">
        <v>1900</v>
      </c>
      <c r="G4">
        <v>1800</v>
      </c>
      <c r="H4">
        <v>1700</v>
      </c>
      <c r="I4">
        <f t="shared" si="0"/>
        <v>13000</v>
      </c>
      <c r="J4" s="1">
        <f t="shared" si="1"/>
        <v>3.8912835249042148E-2</v>
      </c>
    </row>
    <row r="5" spans="1:10" x14ac:dyDescent="0.35">
      <c r="A5" t="s">
        <v>11</v>
      </c>
      <c r="B5" t="s">
        <v>14</v>
      </c>
      <c r="C5">
        <v>8500</v>
      </c>
      <c r="D5">
        <v>8500</v>
      </c>
      <c r="E5">
        <v>9000</v>
      </c>
      <c r="F5">
        <v>9500</v>
      </c>
      <c r="G5">
        <v>10000</v>
      </c>
      <c r="H5">
        <v>11000</v>
      </c>
      <c r="I5">
        <f t="shared" si="0"/>
        <v>56500</v>
      </c>
      <c r="J5" s="1">
        <f t="shared" si="1"/>
        <v>0.16912116858237547</v>
      </c>
    </row>
    <row r="6" spans="1:10" x14ac:dyDescent="0.35">
      <c r="A6" t="s">
        <v>11</v>
      </c>
      <c r="B6" t="s">
        <v>15</v>
      </c>
      <c r="C6">
        <v>6200</v>
      </c>
      <c r="D6">
        <v>5800</v>
      </c>
      <c r="E6">
        <v>6500</v>
      </c>
      <c r="F6">
        <v>7000</v>
      </c>
      <c r="G6">
        <v>7500</v>
      </c>
      <c r="H6">
        <v>8000</v>
      </c>
      <c r="I6">
        <f t="shared" si="0"/>
        <v>41000</v>
      </c>
      <c r="J6" s="1">
        <f t="shared" si="1"/>
        <v>0.12272509578544061</v>
      </c>
    </row>
    <row r="7" spans="1:10" x14ac:dyDescent="0.35">
      <c r="A7" t="s">
        <v>11</v>
      </c>
      <c r="B7" t="s">
        <v>16</v>
      </c>
      <c r="C7">
        <v>1800</v>
      </c>
      <c r="D7">
        <v>1700</v>
      </c>
      <c r="E7">
        <v>1600</v>
      </c>
      <c r="F7">
        <v>1500</v>
      </c>
      <c r="G7">
        <v>1400</v>
      </c>
      <c r="H7">
        <v>1300</v>
      </c>
      <c r="I7">
        <f t="shared" si="0"/>
        <v>9300</v>
      </c>
      <c r="J7" s="1">
        <f t="shared" si="1"/>
        <v>2.7837643678160919E-2</v>
      </c>
    </row>
    <row r="8" spans="1:10" x14ac:dyDescent="0.35">
      <c r="A8" t="s">
        <v>12</v>
      </c>
      <c r="B8" t="s">
        <v>14</v>
      </c>
      <c r="C8">
        <v>5500</v>
      </c>
      <c r="D8">
        <v>5500</v>
      </c>
      <c r="E8">
        <v>6000</v>
      </c>
      <c r="F8">
        <v>6500</v>
      </c>
      <c r="G8">
        <v>7000</v>
      </c>
      <c r="H8">
        <v>7500</v>
      </c>
      <c r="I8">
        <f t="shared" si="0"/>
        <v>38000</v>
      </c>
      <c r="J8" s="1">
        <f t="shared" si="1"/>
        <v>0.11374521072796935</v>
      </c>
    </row>
    <row r="9" spans="1:10" x14ac:dyDescent="0.35">
      <c r="A9" t="s">
        <v>12</v>
      </c>
      <c r="B9" t="s">
        <v>15</v>
      </c>
      <c r="C9">
        <v>2200</v>
      </c>
      <c r="D9">
        <v>2000</v>
      </c>
      <c r="E9">
        <v>2300</v>
      </c>
      <c r="F9">
        <v>2500</v>
      </c>
      <c r="G9">
        <v>2800</v>
      </c>
      <c r="H9">
        <v>3000</v>
      </c>
      <c r="I9">
        <f t="shared" si="0"/>
        <v>14800</v>
      </c>
      <c r="J9" s="1">
        <f t="shared" si="1"/>
        <v>4.4300766283524903E-2</v>
      </c>
    </row>
    <row r="10" spans="1:10" x14ac:dyDescent="0.35">
      <c r="A10" t="s">
        <v>12</v>
      </c>
      <c r="B10" t="s">
        <v>16</v>
      </c>
      <c r="C10">
        <v>1200</v>
      </c>
      <c r="D10">
        <v>1100</v>
      </c>
      <c r="E10">
        <v>1000</v>
      </c>
      <c r="F10">
        <v>900</v>
      </c>
      <c r="G10">
        <v>850</v>
      </c>
      <c r="H10">
        <v>800</v>
      </c>
      <c r="I10">
        <f t="shared" si="0"/>
        <v>5850</v>
      </c>
      <c r="J10" s="1">
        <f t="shared" si="1"/>
        <v>1.7510775862068964E-2</v>
      </c>
    </row>
    <row r="11" spans="1:10" x14ac:dyDescent="0.35">
      <c r="A11" t="s">
        <v>13</v>
      </c>
      <c r="B11" t="s">
        <v>14</v>
      </c>
      <c r="C11">
        <v>6000</v>
      </c>
      <c r="D11">
        <v>6000</v>
      </c>
      <c r="E11">
        <v>6000</v>
      </c>
      <c r="F11">
        <v>6000</v>
      </c>
      <c r="G11">
        <v>6000</v>
      </c>
      <c r="H11">
        <v>6000</v>
      </c>
      <c r="I11">
        <f t="shared" si="0"/>
        <v>36000</v>
      </c>
      <c r="J11" s="1">
        <f t="shared" si="1"/>
        <v>0.10775862068965517</v>
      </c>
    </row>
    <row r="12" spans="1:10" x14ac:dyDescent="0.35">
      <c r="A12" t="s">
        <v>13</v>
      </c>
      <c r="B12" t="s">
        <v>15</v>
      </c>
      <c r="C12">
        <v>1500</v>
      </c>
      <c r="D12">
        <v>1400</v>
      </c>
      <c r="E12">
        <v>1600</v>
      </c>
      <c r="F12">
        <v>1500</v>
      </c>
      <c r="G12">
        <v>1450</v>
      </c>
      <c r="H12">
        <v>1550</v>
      </c>
      <c r="I12">
        <f t="shared" si="0"/>
        <v>9000</v>
      </c>
      <c r="J12" s="1">
        <f t="shared" si="1"/>
        <v>2.6939655172413791E-2</v>
      </c>
    </row>
    <row r="13" spans="1:10" x14ac:dyDescent="0.35">
      <c r="A13" t="s">
        <v>13</v>
      </c>
      <c r="B13" t="s">
        <v>16</v>
      </c>
      <c r="C13">
        <v>800</v>
      </c>
      <c r="D13">
        <v>750</v>
      </c>
      <c r="E13">
        <v>700</v>
      </c>
      <c r="F13">
        <v>680</v>
      </c>
      <c r="G13">
        <v>660</v>
      </c>
      <c r="H13">
        <v>640</v>
      </c>
      <c r="I13">
        <f t="shared" si="0"/>
        <v>4230</v>
      </c>
      <c r="J13" s="1">
        <f t="shared" si="1"/>
        <v>1.2661637931034482E-2</v>
      </c>
    </row>
    <row r="15" spans="1:10" x14ac:dyDescent="0.35">
      <c r="A15" s="3" t="s">
        <v>8</v>
      </c>
      <c r="C15">
        <f>SUM(C2:C13)</f>
        <v>52000</v>
      </c>
      <c r="D15">
        <f>SUM(D2:D13)</f>
        <v>50550</v>
      </c>
      <c r="E15">
        <f>SUM(E2:E13)</f>
        <v>54200</v>
      </c>
      <c r="F15">
        <f>SUM(F2:F13)</f>
        <v>56080</v>
      </c>
      <c r="G15">
        <f>SUM(G2:G13)</f>
        <v>58960</v>
      </c>
      <c r="H15">
        <f>SUM(H2:H13)</f>
        <v>62290</v>
      </c>
      <c r="I15">
        <f>SUM(I2:I13)</f>
        <v>334080</v>
      </c>
      <c r="J15" s="2">
        <f>SUM(J2:J13)</f>
        <v>0.99999999999999989</v>
      </c>
    </row>
    <row r="16" spans="1:10" x14ac:dyDescent="0.35">
      <c r="A16" s="3"/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8603-2144-40B8-B02E-E5DC48EE22BD}">
  <dimension ref="A1:C7"/>
  <sheetViews>
    <sheetView tabSelected="1" workbookViewId="0">
      <selection activeCell="C14" sqref="C14"/>
    </sheetView>
  </sheetViews>
  <sheetFormatPr baseColWidth="10" defaultColWidth="17.08984375" defaultRowHeight="14.5" x14ac:dyDescent="0.35"/>
  <sheetData>
    <row r="1" spans="1:3" x14ac:dyDescent="0.35">
      <c r="A1" s="3" t="s">
        <v>0</v>
      </c>
      <c r="B1" s="3" t="s">
        <v>17</v>
      </c>
      <c r="C1" s="3" t="s">
        <v>9</v>
      </c>
    </row>
    <row r="2" spans="1:3" x14ac:dyDescent="0.35">
      <c r="A2" s="3" t="s">
        <v>10</v>
      </c>
      <c r="B2">
        <f>SUMIF(Kostenrechnung!A:A,"Beherbergung",Kostenrechnung!I:I)</f>
        <v>119400</v>
      </c>
      <c r="C2" s="1">
        <f>B2/SUM($B$2:$B$5)</f>
        <v>0.3573994252873563</v>
      </c>
    </row>
    <row r="3" spans="1:3" x14ac:dyDescent="0.35">
      <c r="A3" s="3" t="s">
        <v>11</v>
      </c>
      <c r="B3">
        <f>SUMIF(Kostenrechnung!A:A,"Gastronomie",Kostenrechnung!I:I)</f>
        <v>106800</v>
      </c>
      <c r="C3" s="1">
        <f t="shared" ref="C3:C5" si="0">B3/SUM($B$2:$B$5)</f>
        <v>0.31968390804597702</v>
      </c>
    </row>
    <row r="4" spans="1:3" x14ac:dyDescent="0.35">
      <c r="A4" s="4" t="s">
        <v>12</v>
      </c>
      <c r="B4">
        <f>SUMIF(Kostenrechnung!A:A,"Wellness&amp;Spa",Kostenrechnung!I:I)</f>
        <v>58650</v>
      </c>
      <c r="C4" s="1">
        <f t="shared" si="0"/>
        <v>0.17555675287356323</v>
      </c>
    </row>
    <row r="5" spans="1:3" x14ac:dyDescent="0.35">
      <c r="A5" s="3" t="s">
        <v>13</v>
      </c>
      <c r="B5">
        <f>SUMIF(Kostenrechnung!A:A,"Verwaltung",Kostenrechnung!I:I)</f>
        <v>49230</v>
      </c>
      <c r="C5" s="1">
        <f t="shared" si="0"/>
        <v>0.14735991379310345</v>
      </c>
    </row>
    <row r="6" spans="1:3" x14ac:dyDescent="0.35">
      <c r="A6" s="3"/>
    </row>
    <row r="7" spans="1:3" x14ac:dyDescent="0.35">
      <c r="A7" s="3" t="s">
        <v>8</v>
      </c>
      <c r="B7">
        <f>SUM(B2:B5)</f>
        <v>334080</v>
      </c>
      <c r="C7" s="2">
        <f>SUM(C2:C5)</f>
        <v>0.99999999999999989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Kostenrechnung</vt:lpstr>
      <vt:lpstr>Auswertung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Yvanelle Goune Temgoua</dc:creator>
  <cp:lastModifiedBy>Yvanelle Goune Temgoua</cp:lastModifiedBy>
  <dcterms:created xsi:type="dcterms:W3CDTF">2026-05-24T15:21:15Z</dcterms:created>
  <dcterms:modified xsi:type="dcterms:W3CDTF">2026-05-24T16:19:08Z</dcterms:modified>
</cp:coreProperties>
</file>