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ane\Downloads\"/>
    </mc:Choice>
  </mc:AlternateContent>
  <xr:revisionPtr revIDLastSave="0" documentId="8_{275D1E31-534C-4C2A-A026-03A4B4E3AE40}" xr6:coauthVersionLast="47" xr6:coauthVersionMax="47" xr10:uidLastSave="{00000000-0000-0000-0000-000000000000}"/>
  <bookViews>
    <workbookView xWindow="-110" yWindow="-110" windowWidth="19420" windowHeight="10300" xr2:uid="{A07358E5-2543-45D6-BC6F-791EEC2E7E44}"/>
  </bookViews>
  <sheets>
    <sheet name="Audit Checklist" sheetId="1" r:id="rId1"/>
    <sheet name="Konformitätssc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B7" i="2" l="1"/>
</calcChain>
</file>

<file path=xl/sharedStrings.xml><?xml version="1.0" encoding="utf-8"?>
<sst xmlns="http://schemas.openxmlformats.org/spreadsheetml/2006/main" count="88" uniqueCount="51">
  <si>
    <t>Nr</t>
  </si>
  <si>
    <t>Prüfbereich</t>
  </si>
  <si>
    <t>Prüffkriterium</t>
  </si>
  <si>
    <t>Status</t>
  </si>
  <si>
    <t>Priorität</t>
  </si>
  <si>
    <t>Konformität</t>
  </si>
  <si>
    <t>Bemerkung</t>
  </si>
  <si>
    <t>Datensicherheit</t>
  </si>
  <si>
    <t>Zugangskontrolle</t>
  </si>
  <si>
    <t>Systemwartung</t>
  </si>
  <si>
    <t>Compliance</t>
  </si>
  <si>
    <t>Notfallmanagement</t>
  </si>
  <si>
    <t>Datenverschlüsselung aktiv</t>
  </si>
  <si>
    <t>Regelmäßige Datensicherung</t>
  </si>
  <si>
    <t>Zugriffsrechte dokumentiert</t>
  </si>
  <si>
    <t>Passwortrichtlinie eingehalten</t>
  </si>
  <si>
    <t>Zwei-Faktor-Authentifizierung</t>
  </si>
  <si>
    <t>Inaktive Konten deaktiviert</t>
  </si>
  <si>
    <t>Betriebssystem aktuell</t>
  </si>
  <si>
    <t>Antivirensoftware aktuell</t>
  </si>
  <si>
    <t>Wartungsprotokoll geführt</t>
  </si>
  <si>
    <t>DSGVO-Richtlinien eingehalten</t>
  </si>
  <si>
    <t>Datenschutzbeauftragter benannt</t>
  </si>
  <si>
    <t>Mitarbeiter geschult</t>
  </si>
  <si>
    <t>Notfallplan Vorhanden</t>
  </si>
  <si>
    <t>Notfallplan getestet</t>
  </si>
  <si>
    <t>wiederherstellungszeit definiert</t>
  </si>
  <si>
    <t>Hoch</t>
  </si>
  <si>
    <t>Mittel</t>
  </si>
  <si>
    <t>Niedrig</t>
  </si>
  <si>
    <t>Konform</t>
  </si>
  <si>
    <t>In Bearbeitung</t>
  </si>
  <si>
    <t>Nicht Konform</t>
  </si>
  <si>
    <t>Audit IT-Konformitätsbericht</t>
  </si>
  <si>
    <t>Gesamtkriterien</t>
  </si>
  <si>
    <t>Konformitätsrate</t>
  </si>
  <si>
    <t>Verschlüsselung seit 2023 aktiv</t>
  </si>
  <si>
    <t>Tägliches Backup um 02:00 Uhr</t>
  </si>
  <si>
    <t>Dokumentation in Bearbeitung</t>
  </si>
  <si>
    <t>Passwortrichtlinie seit Q1 2024</t>
  </si>
  <si>
    <t>Noch nicht implementiert</t>
  </si>
  <si>
    <t>Inaktive Konten werden geprüft</t>
  </si>
  <si>
    <t>Windows 11 aktuell</t>
  </si>
  <si>
    <t>Avast Business-aktuell</t>
  </si>
  <si>
    <t>Protokoll wird erstellt</t>
  </si>
  <si>
    <t>DSVGO-Schulung abgeschlossen</t>
  </si>
  <si>
    <t>Beauftragter seit 2022 benannt</t>
  </si>
  <si>
    <t>Schulung für Q3 2024 geplant</t>
  </si>
  <si>
    <t>Notfallplan liegt vor</t>
  </si>
  <si>
    <t>Test steht noch aus</t>
  </si>
  <si>
    <t>Wiederherstellungszeit : 4 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</si>
</sst>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6">
    <dxf>
      <fill>
        <patternFill>
          <bgColor theme="6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C000"/>
        </patternFill>
      </fill>
    </dxf>
    <dxf>
      <fill>
        <patternFill>
          <bgColor rgb="FFFF33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Audit IT- Konformitätsübersicht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44-4C70-947E-C38758F0312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11850415573053369"/>
                  <c:y val="-0.1763342082239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4-4C70-947E-C38758F031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Konformitätsscore!$A$4:$A$6</c:f>
              <c:strCache>
                <c:ptCount val="3"/>
                <c:pt idx="0">
                  <c:v>Konform</c:v>
                </c:pt>
                <c:pt idx="1">
                  <c:v>Nicht Konform</c:v>
                </c:pt>
                <c:pt idx="2">
                  <c:v>In Bearbeitung</c:v>
                </c:pt>
              </c:strCache>
            </c:strRef>
          </c:cat>
          <c:val>
            <c:numRef>
              <c:f>Konformitätsscore!$B$4:$B$6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4-4C70-947E-C38758F031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536575</xdr:colOff>
      <xdr:row>7</xdr:row>
      <xdr:rowOff>171450</xdr:rowOff>
    </xdr:from>
    <xdr:to>
      <xdr:col>3</xdr:col>
      <xdr:colOff>923925</xdr:colOff>
      <xdr:row>22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A0A46CD-8E31-68EC-6195-AE273E0AF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EC1B-843A-4670-B011-2792D43E6EDE}">
  <dimension ref="A1:G16"/>
  <sheetViews>
    <sheetView tabSelected="1" workbookViewId="0">
      <selection activeCell="H5" sqref="H5"/>
    </sheetView>
  </sheetViews>
  <sheetFormatPr baseColWidth="10" defaultRowHeight="14.5" x14ac:dyDescent="0.35"/>
  <cols>
    <col min="1" max="1" width="13.1796875" customWidth="1"/>
    <col min="2" max="2" width="18.90625" customWidth="1"/>
    <col min="3" max="3" width="30.36328125" customWidth="1"/>
    <col min="4" max="4" width="17.26953125" customWidth="1"/>
    <col min="5" max="5" width="15.81640625" customWidth="1"/>
    <col min="6" max="6" width="14.81640625" customWidth="1"/>
    <col min="7" max="7" width="28.90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1</v>
      </c>
      <c r="B2" t="s">
        <v>7</v>
      </c>
      <c r="C2" t="s">
        <v>12</v>
      </c>
      <c r="D2" t="s">
        <v>30</v>
      </c>
      <c r="E2" t="s">
        <v>27</v>
      </c>
      <c r="F2">
        <f>IF(D2="Konform",1,IF(D2="In Bearbeitung",0.5,0))</f>
        <v>1</v>
      </c>
      <c r="G2" t="s">
        <v>36</v>
      </c>
    </row>
    <row r="3" spans="1:7" x14ac:dyDescent="0.35">
      <c r="A3">
        <v>2</v>
      </c>
      <c r="B3" t="s">
        <v>7</v>
      </c>
      <c r="C3" t="s">
        <v>13</v>
      </c>
      <c r="D3" t="s">
        <v>30</v>
      </c>
      <c r="E3" t="s">
        <v>27</v>
      </c>
      <c r="F3">
        <f t="shared" ref="F3:F16" si="0">IF(D3="Konform",1,IF(D3="In Bearbeitung",0.5,0))</f>
        <v>1</v>
      </c>
      <c r="G3" t="s">
        <v>37</v>
      </c>
    </row>
    <row r="4" spans="1:7" x14ac:dyDescent="0.35">
      <c r="A4">
        <v>3</v>
      </c>
      <c r="B4" t="s">
        <v>7</v>
      </c>
      <c r="C4" t="s">
        <v>14</v>
      </c>
      <c r="D4" t="s">
        <v>31</v>
      </c>
      <c r="E4" t="s">
        <v>27</v>
      </c>
      <c r="F4">
        <f t="shared" si="0"/>
        <v>0.5</v>
      </c>
      <c r="G4" t="s">
        <v>38</v>
      </c>
    </row>
    <row r="5" spans="1:7" x14ac:dyDescent="0.35">
      <c r="A5">
        <v>4</v>
      </c>
      <c r="B5" t="s">
        <v>8</v>
      </c>
      <c r="C5" t="s">
        <v>15</v>
      </c>
      <c r="D5" t="s">
        <v>30</v>
      </c>
      <c r="E5" t="s">
        <v>27</v>
      </c>
      <c r="F5">
        <f t="shared" si="0"/>
        <v>1</v>
      </c>
      <c r="G5" t="s">
        <v>39</v>
      </c>
    </row>
    <row r="6" spans="1:7" x14ac:dyDescent="0.35">
      <c r="A6">
        <v>5</v>
      </c>
      <c r="B6" t="s">
        <v>8</v>
      </c>
      <c r="C6" t="s">
        <v>16</v>
      </c>
      <c r="D6" t="s">
        <v>32</v>
      </c>
      <c r="E6" t="s">
        <v>28</v>
      </c>
      <c r="F6">
        <f t="shared" si="0"/>
        <v>0</v>
      </c>
      <c r="G6" t="s">
        <v>40</v>
      </c>
    </row>
    <row r="7" spans="1:7" x14ac:dyDescent="0.35">
      <c r="A7">
        <v>6</v>
      </c>
      <c r="B7" t="s">
        <v>8</v>
      </c>
      <c r="C7" t="s">
        <v>17</v>
      </c>
      <c r="D7" t="s">
        <v>30</v>
      </c>
      <c r="E7" t="s">
        <v>28</v>
      </c>
      <c r="F7">
        <f t="shared" si="0"/>
        <v>1</v>
      </c>
      <c r="G7" t="s">
        <v>41</v>
      </c>
    </row>
    <row r="8" spans="1:7" x14ac:dyDescent="0.35">
      <c r="A8">
        <v>7</v>
      </c>
      <c r="B8" t="s">
        <v>9</v>
      </c>
      <c r="C8" t="s">
        <v>18</v>
      </c>
      <c r="D8" t="s">
        <v>30</v>
      </c>
      <c r="E8" t="s">
        <v>27</v>
      </c>
      <c r="F8">
        <f t="shared" si="0"/>
        <v>1</v>
      </c>
      <c r="G8" t="s">
        <v>42</v>
      </c>
    </row>
    <row r="9" spans="1:7" x14ac:dyDescent="0.35">
      <c r="A9">
        <v>8</v>
      </c>
      <c r="B9" t="s">
        <v>9</v>
      </c>
      <c r="C9" t="s">
        <v>19</v>
      </c>
      <c r="D9" t="s">
        <v>31</v>
      </c>
      <c r="E9" t="s">
        <v>27</v>
      </c>
      <c r="F9">
        <f t="shared" si="0"/>
        <v>0.5</v>
      </c>
      <c r="G9" t="s">
        <v>43</v>
      </c>
    </row>
    <row r="10" spans="1:7" x14ac:dyDescent="0.35">
      <c r="A10">
        <v>9</v>
      </c>
      <c r="B10" t="s">
        <v>9</v>
      </c>
      <c r="C10" t="s">
        <v>20</v>
      </c>
      <c r="D10" t="s">
        <v>30</v>
      </c>
      <c r="E10" t="s">
        <v>27</v>
      </c>
      <c r="F10">
        <f t="shared" si="0"/>
        <v>1</v>
      </c>
      <c r="G10" t="s">
        <v>44</v>
      </c>
    </row>
    <row r="11" spans="1:7" x14ac:dyDescent="0.35">
      <c r="A11">
        <v>10</v>
      </c>
      <c r="B11" t="s">
        <v>10</v>
      </c>
      <c r="C11" t="s">
        <v>21</v>
      </c>
      <c r="D11" t="s">
        <v>32</v>
      </c>
      <c r="E11" t="s">
        <v>28</v>
      </c>
      <c r="F11">
        <f t="shared" si="0"/>
        <v>0</v>
      </c>
      <c r="G11" t="s">
        <v>45</v>
      </c>
    </row>
    <row r="12" spans="1:7" x14ac:dyDescent="0.35">
      <c r="A12">
        <v>11</v>
      </c>
      <c r="B12" t="s">
        <v>10</v>
      </c>
      <c r="C12" t="s">
        <v>22</v>
      </c>
      <c r="D12" t="s">
        <v>31</v>
      </c>
      <c r="E12" t="s">
        <v>27</v>
      </c>
      <c r="F12">
        <f t="shared" si="0"/>
        <v>0.5</v>
      </c>
      <c r="G12" t="s">
        <v>46</v>
      </c>
    </row>
    <row r="13" spans="1:7" x14ac:dyDescent="0.35">
      <c r="A13">
        <v>12</v>
      </c>
      <c r="B13" t="s">
        <v>10</v>
      </c>
      <c r="C13" t="s">
        <v>23</v>
      </c>
      <c r="D13" t="s">
        <v>30</v>
      </c>
      <c r="E13" t="s">
        <v>28</v>
      </c>
      <c r="F13">
        <f t="shared" si="0"/>
        <v>1</v>
      </c>
      <c r="G13" t="s">
        <v>47</v>
      </c>
    </row>
    <row r="14" spans="1:7" x14ac:dyDescent="0.35">
      <c r="A14">
        <v>13</v>
      </c>
      <c r="B14" t="s">
        <v>11</v>
      </c>
      <c r="C14" t="s">
        <v>24</v>
      </c>
      <c r="D14" t="s">
        <v>32</v>
      </c>
      <c r="E14" t="s">
        <v>27</v>
      </c>
      <c r="F14">
        <f t="shared" si="0"/>
        <v>0</v>
      </c>
      <c r="G14" t="s">
        <v>48</v>
      </c>
    </row>
    <row r="15" spans="1:7" x14ac:dyDescent="0.35">
      <c r="A15">
        <v>14</v>
      </c>
      <c r="B15" t="s">
        <v>11</v>
      </c>
      <c r="C15" t="s">
        <v>25</v>
      </c>
      <c r="D15" t="s">
        <v>31</v>
      </c>
      <c r="E15" t="s">
        <v>28</v>
      </c>
      <c r="F15">
        <f t="shared" si="0"/>
        <v>0.5</v>
      </c>
      <c r="G15" t="s">
        <v>49</v>
      </c>
    </row>
    <row r="16" spans="1:7" x14ac:dyDescent="0.35">
      <c r="A16">
        <v>15</v>
      </c>
      <c r="B16" t="s">
        <v>11</v>
      </c>
      <c r="C16" t="s">
        <v>26</v>
      </c>
      <c r="D16" t="s">
        <v>32</v>
      </c>
      <c r="E16" t="s">
        <v>29</v>
      </c>
      <c r="F16">
        <f t="shared" si="0"/>
        <v>0</v>
      </c>
      <c r="G16" t="s">
        <v>50</v>
      </c>
    </row>
  </sheetData>
  <conditionalFormatting sqref="D2:D16">
    <cfRule type="cellIs" dxfId="2" priority="1" operator="equal">
      <formula>"In Bearbeitung"</formula>
    </cfRule>
    <cfRule type="cellIs" dxfId="1" priority="2" operator="equal">
      <formula>"Nicht Konform"</formula>
    </cfRule>
    <cfRule type="cellIs" dxfId="0" priority="3" operator="equal">
      <formula>"Konform"</formula>
    </cfRule>
  </conditionalFormatting>
  <dataValidations count="1">
    <dataValidation type="list" allowBlank="1" showInputMessage="1" showErrorMessage="1" sqref="D2:D17" xr:uid="{56B616E8-E89F-4BCC-B8DB-DB9F30AC5C10}">
      <formula1>"Konform,Nicht Konform, In Bearbeitung"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AF4F-F073-46E8-B6D5-557E5716DBB4}">
  <dimension ref="A1:B7"/>
  <sheetViews>
    <sheetView topLeftCell="A4" workbookViewId="0">
      <selection activeCell="A4" sqref="A4:B6"/>
    </sheetView>
  </sheetViews>
  <sheetFormatPr baseColWidth="10" defaultRowHeight="14.5" x14ac:dyDescent="0.35"/>
  <cols>
    <col min="1" max="1" width="27" customWidth="1"/>
    <col min="2" max="2" width="18.26953125" customWidth="1"/>
    <col min="3" max="3" width="14.6328125" customWidth="1"/>
    <col min="4" max="4" width="15.1796875" customWidth="1"/>
  </cols>
  <sheetData>
    <row r="1" spans="1:2" ht="21" x14ac:dyDescent="0.5">
      <c r="A1" s="3" t="s">
        <v>33</v>
      </c>
      <c r="B1" s="3"/>
    </row>
    <row r="3" spans="1:2" x14ac:dyDescent="0.35">
      <c r="A3" s="2" t="s">
        <v>34</v>
      </c>
      <c r="B3">
        <f>COUNTA('Audit Checklist'!D2:D16)</f>
        <v>15</v>
      </c>
    </row>
    <row r="4" spans="1:2" x14ac:dyDescent="0.35">
      <c r="A4" s="2" t="s">
        <v>30</v>
      </c>
      <c r="B4">
        <f>COUNTIF('Audit Checklist'!D2:D16,"Konform")</f>
        <v>7</v>
      </c>
    </row>
    <row r="5" spans="1:2" x14ac:dyDescent="0.35">
      <c r="A5" s="2" t="s">
        <v>32</v>
      </c>
      <c r="B5">
        <f>COUNTIF('Audit Checklist'!D2:D16,"Nicht konform")</f>
        <v>4</v>
      </c>
    </row>
    <row r="6" spans="1:2" x14ac:dyDescent="0.35">
      <c r="A6" s="2" t="s">
        <v>31</v>
      </c>
      <c r="B6">
        <f>COUNTIF('Audit Checklist'!D2:D16,"In Bearbeitung")</f>
        <v>4</v>
      </c>
    </row>
    <row r="7" spans="1:2" x14ac:dyDescent="0.35">
      <c r="A7" s="2" t="s">
        <v>35</v>
      </c>
      <c r="B7" s="1">
        <f>SUM('Audit Checklist'!F2:F16)/B3</f>
        <v>0.6</v>
      </c>
    </row>
  </sheetData>
  <mergeCells count="1">
    <mergeCell ref="A1:B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Audit Checklist</vt:lpstr>
      <vt:lpstr>Konformitätsscore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Yvanelle Goune Temgoua</dc:creator>
  <cp:lastModifiedBy>Yvanelle Goune Temgoua</cp:lastModifiedBy>
  <dcterms:created xsi:type="dcterms:W3CDTF">2026-05-25T10:07:25Z</dcterms:created>
  <dcterms:modified xsi:type="dcterms:W3CDTF">2026-05-25T12:26:54Z</dcterms:modified>
</cp:coreProperties>
</file>