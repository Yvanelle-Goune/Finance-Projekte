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ane\Downloads\"/>
    </mc:Choice>
  </mc:AlternateContent>
  <xr:revisionPtr revIDLastSave="0" documentId="8_{3DBB998A-60D2-461C-B09B-C35F9321435F}" xr6:coauthVersionLast="47" xr6:coauthVersionMax="47" xr10:uidLastSave="{00000000-0000-0000-0000-000000000000}"/>
  <bookViews>
    <workbookView xWindow="-110" yWindow="-110" windowWidth="19420" windowHeight="10300" activeTab="2" xr2:uid="{6A307B51-9421-40F7-9F54-CC77D6DED10B}"/>
  </bookViews>
  <sheets>
    <sheet name="Soll-Ist-Analyse" sheetId="1" r:id="rId1"/>
    <sheet name="Kostenanalyse" sheetId="2" r:id="rId2"/>
    <sheet name="Übersich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3" l="1"/>
  <c r="B10" i="3"/>
  <c r="B9" i="3"/>
  <c r="B8" i="3"/>
  <c r="B7" i="3"/>
  <c r="B6" i="3"/>
  <c r="B5" i="3"/>
  <c r="B4" i="3"/>
  <c r="D8" i="2"/>
  <c r="C8" i="2"/>
  <c r="B8" i="2"/>
  <c r="E3" i="2"/>
  <c r="E4" i="2"/>
  <c r="E5" i="2"/>
  <c r="E6" i="2"/>
  <c r="E2" i="2"/>
  <c r="D3" i="2"/>
  <c r="D4" i="2"/>
  <c r="D5" i="2"/>
  <c r="D6" i="2"/>
  <c r="D2" i="2"/>
  <c r="B15" i="1"/>
  <c r="C15" i="1"/>
  <c r="D15" i="1"/>
  <c r="E3" i="1"/>
  <c r="E4" i="1"/>
  <c r="E5" i="1"/>
  <c r="E6" i="1"/>
  <c r="E7" i="1"/>
  <c r="E8" i="1"/>
  <c r="E9" i="1"/>
  <c r="E10" i="1"/>
  <c r="E11" i="1"/>
  <c r="E12" i="1"/>
  <c r="E13" i="1"/>
  <c r="D3" i="1"/>
  <c r="F3" i="1"/>
  <c r="D4" i="1"/>
  <c r="F4" i="1"/>
  <c r="D5" i="1"/>
  <c r="F5" i="1"/>
  <c r="D6" i="1"/>
  <c r="F6" i="1"/>
  <c r="D7" i="1"/>
  <c r="F7" i="1"/>
  <c r="D8" i="1"/>
  <c r="F8" i="1"/>
  <c r="D9" i="1"/>
  <c r="D10" i="1"/>
  <c r="F10" i="1"/>
  <c r="D11" i="1"/>
  <c r="D12" i="1"/>
  <c r="F12" i="1"/>
  <c r="D13" i="1"/>
  <c r="F13" i="1"/>
  <c r="F2" i="1"/>
  <c r="E2" i="1"/>
  <c r="D2" i="1"/>
  <c r="E8" i="2" l="1"/>
  <c r="E15" i="1"/>
  <c r="F15" i="1"/>
  <c r="F11" i="1"/>
  <c r="F9" i="1"/>
</calcChain>
</file>

<file path=xl/sharedStrings.xml><?xml version="1.0" encoding="utf-8"?>
<sst xmlns="http://schemas.openxmlformats.org/spreadsheetml/2006/main" count="41" uniqueCount="39">
  <si>
    <t>Monat</t>
  </si>
  <si>
    <t>Umsatz Soll</t>
  </si>
  <si>
    <t>Umsatz Ist</t>
  </si>
  <si>
    <t>Abweichung(€)</t>
  </si>
  <si>
    <t xml:space="preserve">Abweichung(%) </t>
  </si>
  <si>
    <t>Status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</si>
  <si>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</si>
  <si>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</si>
  <si>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</si>
  <si>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</si>
  <si>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</si>
  <si>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</si>
  <si>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</si>
  <si>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</si>
  <si>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</si>
  <si>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</si>
  <si>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</si>
  <si>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</si>
  <si>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Gesamt</t>
  </si>
  <si>
    <t>Kostenstelle</t>
  </si>
  <si>
    <t>Kosten Soll</t>
  </si>
  <si>
    <t>Kosten Ist</t>
  </si>
  <si>
    <t>Abweichung(%)</t>
  </si>
  <si>
    <t>Restaurant</t>
  </si>
  <si>
    <t>Spa</t>
  </si>
  <si>
    <t>Verwaltung</t>
  </si>
  <si>
    <t>Marketing</t>
  </si>
  <si>
    <t>Rooms</t>
  </si>
  <si>
    <t>Hotel Analyse 2024</t>
  </si>
  <si>
    <t>Kennzahl</t>
  </si>
  <si>
    <t>Wert</t>
  </si>
  <si>
    <t>Gesamtumsatz  Soll</t>
  </si>
  <si>
    <t>Gesamtumsatz  Ist</t>
  </si>
  <si>
    <t>Umsatzabweichung(€)</t>
  </si>
  <si>
    <t>Umsatzabweichung(%)</t>
  </si>
  <si>
    <t>Gesamtkosten Soll</t>
  </si>
  <si>
    <t>Gesamtkosten  Ist</t>
  </si>
  <si>
    <t>Kostenabweichung(€)</t>
  </si>
  <si>
    <t>Kostenabweichung(%)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</si>
</sst>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65" fontId="0" fillId="0" borderId="0" xfId="1" applyNumberFormat="1" applyFont="1"/>
    <xf numFmtId="0" fontId="3" fillId="2" borderId="0" xfId="0" applyFont="1" applyFill="1"/>
    <xf numFmtId="0" fontId="2" fillId="0" borderId="0" xfId="0" applyFont="1"/>
    <xf numFmtId="0" fontId="0" fillId="0" borderId="0" xfId="0" applyFont="1"/>
    <xf numFmtId="165" fontId="1" fillId="0" borderId="0" xfId="1" applyNumberFormat="1" applyFont="1"/>
    <xf numFmtId="0" fontId="5" fillId="3" borderId="0" xfId="0" applyFont="1" applyFill="1"/>
    <xf numFmtId="0" fontId="7" fillId="0" borderId="0" xfId="0" applyFont="1"/>
    <xf numFmtId="0" fontId="6" fillId="0" borderId="0" xfId="0" applyFont="1" applyAlignment="1">
      <alignment horizontal="center"/>
    </xf>
  </cellXfs>
  <cellStyles count="2">
    <cellStyle name="Prozent" xfId="1" builtinId="5"/>
    <cellStyle name="Standard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ill>
        <patternFill>
          <bgColor rgb="FFFF5050"/>
        </patternFill>
      </fill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  <dxf>
      <font>
        <b val="0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>
          <bgColor theme="9" tint="0.39994506668294322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>
                <a:solidFill>
                  <a:srgbClr val="0070C0"/>
                </a:solidFill>
              </a:rPr>
              <a:t>Umsatzentwicklung</a:t>
            </a:r>
            <a:r>
              <a:rPr lang="de-DE" b="1" baseline="0">
                <a:solidFill>
                  <a:srgbClr val="0070C0"/>
                </a:solidFill>
              </a:rPr>
              <a:t> 2024-Soll vs. Ist</a:t>
            </a:r>
            <a:endParaRPr lang="de-DE" b="1">
              <a:solidFill>
                <a:srgbClr val="0070C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1713648293963255"/>
          <c:y val="0.16708333333333336"/>
          <c:w val="0.85230796150481192"/>
          <c:h val="0.50082677165354328"/>
        </c:manualLayout>
      </c:layout>
      <c:lineChart>
        <c:grouping val="standard"/>
        <c:varyColors val="0"/>
        <c:ser>
          <c:idx val="0"/>
          <c:order val="0"/>
          <c:tx>
            <c:strRef>
              <c:f>'Soll-Ist-Analyse'!$B$1</c:f>
              <c:strCache>
                <c:ptCount val="1"/>
                <c:pt idx="0">
                  <c:v>Umsatz Soll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'Soll-Ist-Analyse'!$A$2:$A$13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'Soll-Ist-Analyse'!$B$2:$B$13</c:f>
              <c:numCache>
                <c:formatCode>General</c:formatCode>
                <c:ptCount val="12"/>
                <c:pt idx="0">
                  <c:v>85000</c:v>
                </c:pt>
                <c:pt idx="1">
                  <c:v>78000</c:v>
                </c:pt>
                <c:pt idx="2">
                  <c:v>92000</c:v>
                </c:pt>
                <c:pt idx="3">
                  <c:v>105000</c:v>
                </c:pt>
                <c:pt idx="4">
                  <c:v>118000</c:v>
                </c:pt>
                <c:pt idx="5">
                  <c:v>135000</c:v>
                </c:pt>
                <c:pt idx="6">
                  <c:v>152000</c:v>
                </c:pt>
                <c:pt idx="7">
                  <c:v>158000</c:v>
                </c:pt>
                <c:pt idx="8">
                  <c:v>132000</c:v>
                </c:pt>
                <c:pt idx="9">
                  <c:v>108000</c:v>
                </c:pt>
                <c:pt idx="10">
                  <c:v>88000</c:v>
                </c:pt>
                <c:pt idx="11">
                  <c:v>125000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D-4519-A637-CFE20247C251}"/>
            </c:ext>
          </c:extLst>
        </c:ser>
        <c:ser>
          <c:idx val="1"/>
          <c:order val="1"/>
          <c:tx>
            <c:strRef>
              <c:f>'Soll-Ist-Analyse'!$C$1</c:f>
              <c:strCache>
                <c:ptCount val="1"/>
                <c:pt idx="0">
                  <c:v>Umsatz Ist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'Soll-Ist-Analyse'!$A$2:$A$13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'Soll-Ist-Analyse'!$C$2:$C$13</c:f>
              <c:numCache>
                <c:formatCode>General</c:formatCode>
                <c:ptCount val="12"/>
                <c:pt idx="0">
                  <c:v>78500</c:v>
                </c:pt>
                <c:pt idx="1">
                  <c:v>81200</c:v>
                </c:pt>
                <c:pt idx="2">
                  <c:v>89400</c:v>
                </c:pt>
                <c:pt idx="3">
                  <c:v>112300</c:v>
                </c:pt>
                <c:pt idx="4">
                  <c:v>115600</c:v>
                </c:pt>
                <c:pt idx="5">
                  <c:v>141200</c:v>
                </c:pt>
                <c:pt idx="6">
                  <c:v>148900</c:v>
                </c:pt>
                <c:pt idx="7">
                  <c:v>163400</c:v>
                </c:pt>
                <c:pt idx="8">
                  <c:v>128700</c:v>
                </c:pt>
                <c:pt idx="9">
                  <c:v>104200</c:v>
                </c:pt>
                <c:pt idx="10">
                  <c:v>91500</c:v>
                </c:pt>
                <c:pt idx="11">
                  <c:v>119800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3D-4519-A637-CFE20247C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421711"/>
        <c:axId val="1547310623"/>
      </c:lineChart>
      <c:catAx>
        <c:axId val="185842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7310623"/>
        <c:crosses val="autoZero"/>
        <c:auto val="1"/>
        <c:lblAlgn val="ctr"/>
        <c:lblOffset val="100"/>
        <c:noMultiLvlLbl val="0"/>
      </c:catAx>
      <c:valAx>
        <c:axId val="15473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842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b="1">
                <a:solidFill>
                  <a:srgbClr val="0070C0"/>
                </a:solidFill>
              </a:rPr>
              <a:t>Kostenanalyse</a:t>
            </a:r>
            <a:r>
              <a:rPr lang="de-DE" b="1" baseline="0">
                <a:solidFill>
                  <a:srgbClr val="0070C0"/>
                </a:solidFill>
              </a:rPr>
              <a:t> nach Abteilung - Soll vs. Ist</a:t>
            </a:r>
            <a:endParaRPr lang="de-DE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0.156611111111111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Kostenanalyse!$B$1</c:f>
              <c:strCache>
                <c:ptCount val="1"/>
                <c:pt idx="0">
                  <c:v>Kosten Soll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Kostenanalyse!$A$2:$A$6</c:f>
              <c:strCache>
                <c:ptCount val="5"/>
                <c:pt idx="0">
                  <c:v>Rooms</c:v>
                </c:pt>
                <c:pt idx="1">
                  <c:v>Restaurant</c:v>
                </c:pt>
                <c:pt idx="2">
                  <c:v>Spa</c:v>
                </c:pt>
                <c:pt idx="3">
                  <c:v>Verwaltung</c:v>
                </c:pt>
                <c:pt idx="4">
                  <c:v>Marketing</c:v>
                </c:pt>
              </c:strCache>
            </c:strRef>
          </c:cat>
          <c:val>
            <c:numRef>
              <c:f>Kostenanalyse!$B$2:$B$6</c:f>
              <c:numCache>
                <c:formatCode>General</c:formatCode>
                <c:ptCount val="5"/>
                <c:pt idx="0">
                  <c:v>45000</c:v>
                </c:pt>
                <c:pt idx="1">
                  <c:v>38000</c:v>
                </c:pt>
                <c:pt idx="2">
                  <c:v>22000</c:v>
                </c:pt>
                <c:pt idx="3">
                  <c:v>18000</c:v>
                </c:pt>
                <c:pt idx="4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6-44E6-BB06-1AABC778F006}"/>
            </c:ext>
          </c:extLst>
        </c:ser>
        <c:ser>
          <c:idx val="1"/>
          <c:order val="1"/>
          <c:tx>
            <c:strRef>
              <c:f>Kostenanalyse!$C$1</c:f>
              <c:strCache>
                <c:ptCount val="1"/>
                <c:pt idx="0">
                  <c:v>Kosten Ist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Kostenanalyse!$A$2:$A$6</c:f>
              <c:strCache>
                <c:ptCount val="5"/>
                <c:pt idx="0">
                  <c:v>Rooms</c:v>
                </c:pt>
                <c:pt idx="1">
                  <c:v>Restaurant</c:v>
                </c:pt>
                <c:pt idx="2">
                  <c:v>Spa</c:v>
                </c:pt>
                <c:pt idx="3">
                  <c:v>Verwaltung</c:v>
                </c:pt>
                <c:pt idx="4">
                  <c:v>Marketing</c:v>
                </c:pt>
              </c:strCache>
            </c:strRef>
          </c:cat>
          <c:val>
            <c:numRef>
              <c:f>Kostenanalyse!$C$2:$C$6</c:f>
              <c:numCache>
                <c:formatCode>General</c:formatCode>
                <c:ptCount val="5"/>
                <c:pt idx="0">
                  <c:v>43200</c:v>
                </c:pt>
                <c:pt idx="1">
                  <c:v>43500</c:v>
                </c:pt>
                <c:pt idx="2">
                  <c:v>20800</c:v>
                </c:pt>
                <c:pt idx="3">
                  <c:v>18600</c:v>
                </c:pt>
                <c:pt idx="4">
                  <c:v>10900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6-44E6-BB06-1AABC778F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1367583"/>
        <c:axId val="2101369023"/>
      </c:barChart>
      <c:catAx>
        <c:axId val="2101367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1369023"/>
        <c:crosses val="autoZero"/>
        <c:auto val="1"/>
        <c:lblAlgn val="ctr"/>
        <c:lblOffset val="100"/>
        <c:noMultiLvlLbl val="0"/>
      </c:catAx>
      <c:valAx>
        <c:axId val="210136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136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</xdr:colOff>
      <xdr:row>0</xdr:row>
      <xdr:rowOff>25400</xdr:rowOff>
    </xdr:from>
    <xdr:to>
      <xdr:col>13</xdr:col>
      <xdr:colOff>3175</xdr:colOff>
      <xdr:row>15</xdr:row>
      <xdr:rowOff>6350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AA82273-D1CE-4A66-AD3C-1B97ABA7A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10</xdr:row>
      <xdr:rowOff>19050</xdr:rowOff>
    </xdr:from>
    <xdr:to>
      <xdr:col>5</xdr:col>
      <xdr:colOff>428625</xdr:colOff>
      <xdr:row>25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4FC21DB-1EA4-823B-0F1A-616603A8B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1CE921-A722-4323-8AB5-35D02B5DE1DF}" name="Tabelle1" displayName="Tabelle1" ref="A1:F13" totalsRowShown="0" headerRowDxfId="7" dataDxfId="6">
  <autoFilter ref="A1:F13" xr:uid="{E61CE921-A722-4323-8AB5-35D02B5DE1DF}"/>
  <tableColumns count="6">
    <tableColumn id="1" xr3:uid="{36DD1BA5-6CE4-4F9A-BE9B-76514B5FE345}" name="Monat" dataDxfId="13"/>
    <tableColumn id="2" xr3:uid="{A46B475F-94E2-4743-9BD2-BF849B7C01DD}" name="Umsatz Soll" dataDxfId="12"/>
    <tableColumn id="3" xr3:uid="{3B285027-215B-4DEA-95F9-CCE83BC658AE}" name="Umsatz Ist" dataDxfId="11"/>
    <tableColumn id="4" xr3:uid="{E5F661B9-BB73-4AAB-92F6-EB6E9060CE4E}" name="Abweichung(€)" dataDxfId="10">
      <calculatedColumnFormula>C2-B2</calculatedColumnFormula>
    </tableColumn>
    <tableColumn id="5" xr3:uid="{6659AD45-B521-4198-AC35-D1F745C87B95}" name="Abweichung(%) " dataDxfId="9" dataCellStyle="Prozent">
      <calculatedColumnFormula>D2/B2</calculatedColumnFormula>
    </tableColumn>
    <tableColumn id="6" xr3:uid="{AA6292F3-56D0-496E-BC53-00FE9CF7D5F1}" name="Status" dataDxfId="8">
      <calculatedColumnFormula>IF(D2&gt;=0,"Im Ziel","Unter Ziel")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B35E76-FA99-44F2-B318-A0B26D76E16E}" name="Tabelle2" displayName="Tabelle2" ref="A1:E8" totalsRowShown="0" headerRowDxfId="1">
  <autoFilter ref="A1:E8" xr:uid="{B0B35E76-FA99-44F2-B318-A0B26D76E16E}"/>
  <tableColumns count="5">
    <tableColumn id="1" xr3:uid="{60B18E00-B5FF-4379-9863-70723316641D}" name="Kostenstelle"/>
    <tableColumn id="2" xr3:uid="{5BF95389-4FA9-480B-8402-64AA42039FD8}" name="Kosten Soll"/>
    <tableColumn id="3" xr3:uid="{1237CFA0-6B59-46A2-8CC5-67A4D09C8915}" name="Kosten Ist"/>
    <tableColumn id="4" xr3:uid="{68EB22B2-1459-4E8E-AE39-3AAC948B45F4}" name="Abweichung(€)"/>
    <tableColumn id="5" xr3:uid="{DEFDDCE4-D97E-4BF9-891C-65AB15851F74}" name="Abweichung(%)" dataDxfId="2" dataCellStyle="Prozent">
      <calculatedColumnFormula>D2/B2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F2FCC3-8098-4EFF-88E9-3CC61752B894}" name="Tabelle3" displayName="Tabelle3" ref="A3:B11" totalsRowShown="0" headerRowDxfId="0">
  <autoFilter ref="A3:B11" xr:uid="{F4F2FCC3-8098-4EFF-88E9-3CC61752B894}"/>
  <tableColumns count="2">
    <tableColumn id="1" xr3:uid="{6890A007-7248-4118-910A-449D1D2B84D1}" name="Kennzahl"/>
    <tableColumn id="2" xr3:uid="{5AD07E3F-1757-4CC3-B8EE-87CA26EDDFFA}" name="We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110A-2247-47FE-9603-A691D3AB55F1}">
  <dimension ref="A1:F15"/>
  <sheetViews>
    <sheetView workbookViewId="0">
      <selection activeCell="J9" sqref="J9"/>
    </sheetView>
  </sheetViews>
  <sheetFormatPr baseColWidth="10" defaultRowHeight="14.5" x14ac:dyDescent="0.35"/>
  <cols>
    <col min="2" max="2" width="12.6328125" customWidth="1"/>
    <col min="3" max="3" width="11.54296875" customWidth="1"/>
    <col min="4" max="4" width="15.36328125" customWidth="1"/>
    <col min="5" max="5" width="16.269531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4" t="s">
        <v>6</v>
      </c>
      <c r="B2" s="4">
        <v>85000</v>
      </c>
      <c r="C2" s="4">
        <v>78500</v>
      </c>
      <c r="D2" s="4">
        <f>C2-B2</f>
        <v>-6500</v>
      </c>
      <c r="E2" s="5">
        <f>D2/B2</f>
        <v>-7.6470588235294124E-2</v>
      </c>
      <c r="F2" s="4" t="str">
        <f>IF(D2&gt;=0,"Im Ziel","Unter Ziel")</f>
        <v>Unter Ziel</v>
      </c>
    </row>
    <row r="3" spans="1:6" x14ac:dyDescent="0.35">
      <c r="A3" s="4" t="s">
        <v>7</v>
      </c>
      <c r="B3" s="4">
        <v>78000</v>
      </c>
      <c r="C3" s="4">
        <v>81200</v>
      </c>
      <c r="D3" s="4">
        <f t="shared" ref="D3:D13" si="0">C3-B3</f>
        <v>3200</v>
      </c>
      <c r="E3" s="5">
        <f t="shared" ref="E3:E13" si="1">D3/B3</f>
        <v>4.1025641025641026E-2</v>
      </c>
      <c r="F3" s="4" t="str">
        <f t="shared" ref="F3:F13" si="2">IF(D3&gt;=0,"Im Ziel","Unter Ziel")</f>
        <v>Im Ziel</v>
      </c>
    </row>
    <row r="4" spans="1:6" x14ac:dyDescent="0.35">
      <c r="A4" s="4" t="s">
        <v>8</v>
      </c>
      <c r="B4" s="4">
        <v>92000</v>
      </c>
      <c r="C4" s="4">
        <v>89400</v>
      </c>
      <c r="D4" s="4">
        <f t="shared" si="0"/>
        <v>-2600</v>
      </c>
      <c r="E4" s="5">
        <f t="shared" si="1"/>
        <v>-2.8260869565217391E-2</v>
      </c>
      <c r="F4" s="4" t="str">
        <f t="shared" si="2"/>
        <v>Unter Ziel</v>
      </c>
    </row>
    <row r="5" spans="1:6" x14ac:dyDescent="0.35">
      <c r="A5" s="4" t="s">
        <v>9</v>
      </c>
      <c r="B5" s="4">
        <v>105000</v>
      </c>
      <c r="C5" s="4">
        <v>112300</v>
      </c>
      <c r="D5" s="4">
        <f t="shared" si="0"/>
        <v>7300</v>
      </c>
      <c r="E5" s="5">
        <f t="shared" si="1"/>
        <v>6.9523809523809529E-2</v>
      </c>
      <c r="F5" s="4" t="str">
        <f t="shared" si="2"/>
        <v>Im Ziel</v>
      </c>
    </row>
    <row r="6" spans="1:6" x14ac:dyDescent="0.35">
      <c r="A6" s="4" t="s">
        <v>10</v>
      </c>
      <c r="B6" s="4">
        <v>118000</v>
      </c>
      <c r="C6" s="4">
        <v>115600</v>
      </c>
      <c r="D6" s="4">
        <f t="shared" si="0"/>
        <v>-2400</v>
      </c>
      <c r="E6" s="5">
        <f t="shared" si="1"/>
        <v>-2.0338983050847456E-2</v>
      </c>
      <c r="F6" s="4" t="str">
        <f t="shared" si="2"/>
        <v>Unter Ziel</v>
      </c>
    </row>
    <row r="7" spans="1:6" x14ac:dyDescent="0.35">
      <c r="A7" s="4" t="s">
        <v>11</v>
      </c>
      <c r="B7" s="4">
        <v>135000</v>
      </c>
      <c r="C7" s="4">
        <v>141200</v>
      </c>
      <c r="D7" s="4">
        <f t="shared" si="0"/>
        <v>6200</v>
      </c>
      <c r="E7" s="5">
        <f t="shared" si="1"/>
        <v>4.5925925925925926E-2</v>
      </c>
      <c r="F7" s="4" t="str">
        <f t="shared" si="2"/>
        <v>Im Ziel</v>
      </c>
    </row>
    <row r="8" spans="1:6" x14ac:dyDescent="0.35">
      <c r="A8" s="4" t="s">
        <v>12</v>
      </c>
      <c r="B8" s="4">
        <v>152000</v>
      </c>
      <c r="C8" s="4">
        <v>148900</v>
      </c>
      <c r="D8" s="4">
        <f t="shared" si="0"/>
        <v>-3100</v>
      </c>
      <c r="E8" s="5">
        <f t="shared" si="1"/>
        <v>-2.0394736842105264E-2</v>
      </c>
      <c r="F8" s="4" t="str">
        <f t="shared" si="2"/>
        <v>Unter Ziel</v>
      </c>
    </row>
    <row r="9" spans="1:6" x14ac:dyDescent="0.35">
      <c r="A9" s="4" t="s">
        <v>13</v>
      </c>
      <c r="B9" s="4">
        <v>158000</v>
      </c>
      <c r="C9" s="4">
        <v>163400</v>
      </c>
      <c r="D9" s="4">
        <f t="shared" si="0"/>
        <v>5400</v>
      </c>
      <c r="E9" s="5">
        <f t="shared" si="1"/>
        <v>3.4177215189873419E-2</v>
      </c>
      <c r="F9" s="4" t="str">
        <f t="shared" si="2"/>
        <v>Im Ziel</v>
      </c>
    </row>
    <row r="10" spans="1:6" x14ac:dyDescent="0.35">
      <c r="A10" s="4" t="s">
        <v>14</v>
      </c>
      <c r="B10" s="4">
        <v>132000</v>
      </c>
      <c r="C10" s="4">
        <v>128700</v>
      </c>
      <c r="D10" s="4">
        <f t="shared" si="0"/>
        <v>-3300</v>
      </c>
      <c r="E10" s="5">
        <f t="shared" si="1"/>
        <v>-2.5000000000000001E-2</v>
      </c>
      <c r="F10" s="4" t="str">
        <f t="shared" si="2"/>
        <v>Unter Ziel</v>
      </c>
    </row>
    <row r="11" spans="1:6" x14ac:dyDescent="0.35">
      <c r="A11" s="4" t="s">
        <v>15</v>
      </c>
      <c r="B11" s="4">
        <v>108000</v>
      </c>
      <c r="C11" s="4">
        <v>104200</v>
      </c>
      <c r="D11" s="4">
        <f t="shared" si="0"/>
        <v>-3800</v>
      </c>
      <c r="E11" s="5">
        <f t="shared" si="1"/>
        <v>-3.5185185185185187E-2</v>
      </c>
      <c r="F11" s="4" t="str">
        <f t="shared" si="2"/>
        <v>Unter Ziel</v>
      </c>
    </row>
    <row r="12" spans="1:6" x14ac:dyDescent="0.35">
      <c r="A12" s="4" t="s">
        <v>16</v>
      </c>
      <c r="B12" s="4">
        <v>88000</v>
      </c>
      <c r="C12" s="4">
        <v>91500</v>
      </c>
      <c r="D12" s="4">
        <f t="shared" si="0"/>
        <v>3500</v>
      </c>
      <c r="E12" s="5">
        <f t="shared" si="1"/>
        <v>3.9772727272727272E-2</v>
      </c>
      <c r="F12" s="4" t="str">
        <f t="shared" si="2"/>
        <v>Im Ziel</v>
      </c>
    </row>
    <row r="13" spans="1:6" x14ac:dyDescent="0.35">
      <c r="A13" s="4" t="s">
        <v>17</v>
      </c>
      <c r="B13" s="4">
        <v>125000</v>
      </c>
      <c r="C13" s="4">
        <v>119800</v>
      </c>
      <c r="D13" s="4">
        <f t="shared" si="0"/>
        <v>-5200</v>
      </c>
      <c r="E13" s="5">
        <f t="shared" si="1"/>
        <v>-4.1599999999999998E-2</v>
      </c>
      <c r="F13" s="4" t="str">
        <f t="shared" si="2"/>
        <v>Unter Ziel</v>
      </c>
    </row>
    <row r="14" spans="1:6" x14ac:dyDescent="0.35">
      <c r="A14" s="4"/>
      <c r="B14" s="4"/>
      <c r="C14" s="4"/>
      <c r="D14" s="4"/>
      <c r="E14" s="4"/>
      <c r="F14" s="4"/>
    </row>
    <row r="15" spans="1:6" x14ac:dyDescent="0.35">
      <c r="A15" s="3" t="s">
        <v>18</v>
      </c>
      <c r="B15" s="3">
        <f>SUM(B2:B13)</f>
        <v>1376000</v>
      </c>
      <c r="C15" s="3">
        <f>SUM(C2:C13)</f>
        <v>1374700</v>
      </c>
      <c r="D15" s="3">
        <f>SUM(D2:D13)</f>
        <v>-1300</v>
      </c>
      <c r="E15" s="3">
        <f>D15/B15</f>
        <v>-9.447674418604651E-4</v>
      </c>
      <c r="F15" s="3" t="str">
        <f>IF(D15&gt;=0,"Im Ziel","Unter Ziel")</f>
        <v>Unter Ziel</v>
      </c>
    </row>
  </sheetData>
  <phoneticPr fontId="4" type="noConversion"/>
  <conditionalFormatting sqref="D2:D13">
    <cfRule type="cellIs" dxfId="15" priority="2" operator="lessThan">
      <formula>0</formula>
    </cfRule>
    <cfRule type="cellIs" dxfId="14" priority="1" operator="greaterThanOrEqual">
      <formula>0</formula>
    </cfRule>
  </conditionalFormatting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27B28-7CE0-418D-BFAF-563D76E88E73}">
  <dimension ref="A1:E8"/>
  <sheetViews>
    <sheetView topLeftCell="A2" workbookViewId="0">
      <selection activeCell="G4" sqref="G4"/>
    </sheetView>
  </sheetViews>
  <sheetFormatPr baseColWidth="10" defaultRowHeight="14.5" x14ac:dyDescent="0.35"/>
  <cols>
    <col min="1" max="1" width="12.81640625" customWidth="1"/>
    <col min="2" max="2" width="11.7265625" customWidth="1"/>
    <col min="4" max="4" width="14.81640625" customWidth="1"/>
    <col min="5" max="5" width="15.36328125" customWidth="1"/>
  </cols>
  <sheetData>
    <row r="1" spans="1:5" x14ac:dyDescent="0.35">
      <c r="A1" s="6" t="s">
        <v>19</v>
      </c>
      <c r="B1" s="6" t="s">
        <v>20</v>
      </c>
      <c r="C1" s="6" t="s">
        <v>21</v>
      </c>
      <c r="D1" s="6" t="s">
        <v>3</v>
      </c>
      <c r="E1" s="6" t="s">
        <v>22</v>
      </c>
    </row>
    <row r="2" spans="1:5" x14ac:dyDescent="0.35">
      <c r="A2" t="s">
        <v>27</v>
      </c>
      <c r="B2">
        <v>45000</v>
      </c>
      <c r="C2">
        <v>43200</v>
      </c>
      <c r="D2">
        <f>C2-B2</f>
        <v>-1800</v>
      </c>
      <c r="E2" s="1">
        <f>D2/B2</f>
        <v>-0.04</v>
      </c>
    </row>
    <row r="3" spans="1:5" x14ac:dyDescent="0.35">
      <c r="A3" t="s">
        <v>23</v>
      </c>
      <c r="B3">
        <v>38000</v>
      </c>
      <c r="C3">
        <v>43500</v>
      </c>
      <c r="D3">
        <f t="shared" ref="D3:D6" si="0">C3-B3</f>
        <v>5500</v>
      </c>
      <c r="E3" s="1">
        <f t="shared" ref="E3:E6" si="1">D3/B3</f>
        <v>0.14473684210526316</v>
      </c>
    </row>
    <row r="4" spans="1:5" x14ac:dyDescent="0.35">
      <c r="A4" t="s">
        <v>24</v>
      </c>
      <c r="B4">
        <v>22000</v>
      </c>
      <c r="C4">
        <v>20800</v>
      </c>
      <c r="D4">
        <f t="shared" si="0"/>
        <v>-1200</v>
      </c>
      <c r="E4" s="1">
        <f t="shared" si="1"/>
        <v>-5.4545454545454543E-2</v>
      </c>
    </row>
    <row r="5" spans="1:5" x14ac:dyDescent="0.35">
      <c r="A5" t="s">
        <v>25</v>
      </c>
      <c r="B5">
        <v>18000</v>
      </c>
      <c r="C5">
        <v>18600</v>
      </c>
      <c r="D5">
        <f t="shared" si="0"/>
        <v>600</v>
      </c>
      <c r="E5" s="1">
        <f t="shared" si="1"/>
        <v>3.3333333333333333E-2</v>
      </c>
    </row>
    <row r="6" spans="1:5" x14ac:dyDescent="0.35">
      <c r="A6" t="s">
        <v>26</v>
      </c>
      <c r="B6">
        <v>12000</v>
      </c>
      <c r="C6">
        <v>10900</v>
      </c>
      <c r="D6">
        <f t="shared" si="0"/>
        <v>-1100</v>
      </c>
      <c r="E6" s="1">
        <f t="shared" si="1"/>
        <v>-9.166666666666666E-2</v>
      </c>
    </row>
    <row r="8" spans="1:5" x14ac:dyDescent="0.35">
      <c r="A8" t="s">
        <v>18</v>
      </c>
      <c r="B8">
        <f>SUM(B2:B6)</f>
        <v>135000</v>
      </c>
      <c r="C8">
        <f>SUM(C2:C6)</f>
        <v>137000</v>
      </c>
      <c r="D8">
        <f>SUM(D2:D6)</f>
        <v>2000</v>
      </c>
      <c r="E8" s="1">
        <f>D8/B8</f>
        <v>1.4814814814814815E-2</v>
      </c>
    </row>
  </sheetData>
  <conditionalFormatting sqref="D2:D6 D8">
    <cfRule type="cellIs" dxfId="5" priority="2" operator="greaterThan">
      <formula>0</formula>
    </cfRule>
    <cfRule type="cellIs" dxfId="4" priority="1" operator="lessThanOrEqual">
      <formula>0</formula>
    </cfRule>
  </conditionalFormatting>
  <pageMargins left="0.7" right="0.7" top="0.78740157499999996" bottom="0.78740157499999996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EB79-268F-4D48-974C-6BB0CEB65247}">
  <dimension ref="A1:B11"/>
  <sheetViews>
    <sheetView tabSelected="1" workbookViewId="0">
      <selection sqref="A1:B1"/>
    </sheetView>
  </sheetViews>
  <sheetFormatPr baseColWidth="10" defaultRowHeight="14.5" x14ac:dyDescent="0.35"/>
  <cols>
    <col min="1" max="1" width="24" customWidth="1"/>
  </cols>
  <sheetData>
    <row r="1" spans="1:2" ht="21" x14ac:dyDescent="0.5">
      <c r="A1" s="8" t="s">
        <v>28</v>
      </c>
      <c r="B1" s="8"/>
    </row>
    <row r="3" spans="1:2" ht="16" x14ac:dyDescent="0.4">
      <c r="A3" s="7" t="s">
        <v>29</v>
      </c>
      <c r="B3" s="7" t="s">
        <v>30</v>
      </c>
    </row>
    <row r="4" spans="1:2" x14ac:dyDescent="0.35">
      <c r="A4" t="s">
        <v>31</v>
      </c>
      <c r="B4">
        <f>'Soll-Ist-Analyse'!B15</f>
        <v>1376000</v>
      </c>
    </row>
    <row r="5" spans="1:2" x14ac:dyDescent="0.35">
      <c r="A5" t="s">
        <v>32</v>
      </c>
      <c r="B5">
        <f>'Soll-Ist-Analyse'!C15</f>
        <v>1374700</v>
      </c>
    </row>
    <row r="6" spans="1:2" x14ac:dyDescent="0.35">
      <c r="A6" t="s">
        <v>33</v>
      </c>
      <c r="B6">
        <f>'Soll-Ist-Analyse'!D15</f>
        <v>-1300</v>
      </c>
    </row>
    <row r="7" spans="1:2" x14ac:dyDescent="0.35">
      <c r="A7" t="s">
        <v>34</v>
      </c>
      <c r="B7" s="1">
        <f>'Soll-Ist-Analyse'!E15</f>
        <v>-9.447674418604651E-4</v>
      </c>
    </row>
    <row r="8" spans="1:2" x14ac:dyDescent="0.35">
      <c r="A8" t="s">
        <v>35</v>
      </c>
      <c r="B8">
        <f>Kostenanalyse!B8</f>
        <v>135000</v>
      </c>
    </row>
    <row r="9" spans="1:2" x14ac:dyDescent="0.35">
      <c r="A9" t="s">
        <v>36</v>
      </c>
      <c r="B9">
        <f>Kostenanalyse!C8</f>
        <v>137000</v>
      </c>
    </row>
    <row r="10" spans="1:2" x14ac:dyDescent="0.35">
      <c r="A10" t="s">
        <v>37</v>
      </c>
      <c r="B10">
        <f>Kostenanalyse!D8</f>
        <v>2000</v>
      </c>
    </row>
    <row r="11" spans="1:2" x14ac:dyDescent="0.35">
      <c r="A11" t="s">
        <v>38</v>
      </c>
      <c r="B11" s="1">
        <f>Kostenanalyse!E8</f>
        <v>1.4814814814814815E-2</v>
      </c>
    </row>
  </sheetData>
  <mergeCells count="1">
    <mergeCell ref="A1:B1"/>
  </mergeCell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Soll-Ist-Analyse</vt:lpstr>
      <vt:lpstr>Kostenanalyse</vt:lpstr>
      <vt:lpstr>Übersicht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Yvanelle Goune Temgoua</dc:creator>
  <cp:lastModifiedBy>Yvanelle Goune Temgoua</cp:lastModifiedBy>
  <dcterms:created xsi:type="dcterms:W3CDTF">2026-05-21T23:30:12Z</dcterms:created>
  <dcterms:modified xsi:type="dcterms:W3CDTF">2026-05-22T01:34:26Z</dcterms:modified>
</cp:coreProperties>
</file>