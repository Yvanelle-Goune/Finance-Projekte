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ane\Downloads\"/>
    </mc:Choice>
  </mc:AlternateContent>
  <xr:revisionPtr revIDLastSave="0" documentId="13_ncr:1_{E8B472A7-5F83-49DB-95C6-65ED154FA202}" xr6:coauthVersionLast="47" xr6:coauthVersionMax="47" xr10:uidLastSave="{00000000-0000-0000-0000-000000000000}"/>
  <bookViews>
    <workbookView xWindow="-110" yWindow="-110" windowWidth="19420" windowHeight="10300" xr2:uid="{E8C97B6B-2CBA-4B21-B1A0-5DF1D0E83EF9}"/>
  </bookViews>
  <sheets>
    <sheet name="Rechnungs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I7" i="1"/>
  <c r="I9" i="1"/>
  <c r="H5" i="1"/>
  <c r="H7" i="1"/>
  <c r="H9" i="1"/>
  <c r="G2" i="1"/>
  <c r="G3" i="1"/>
  <c r="G4" i="1"/>
  <c r="G5" i="1"/>
  <c r="G6" i="1"/>
  <c r="G7" i="1"/>
  <c r="G8" i="1"/>
  <c r="G9" i="1"/>
  <c r="G10" i="1"/>
  <c r="I2" i="1" l="1"/>
  <c r="H2" i="1"/>
  <c r="B15" i="1" s="1"/>
  <c r="H4" i="1"/>
  <c r="I4" i="1"/>
  <c r="I3" i="1"/>
  <c r="I10" i="1"/>
  <c r="I6" i="1"/>
  <c r="I8" i="1"/>
  <c r="H6" i="1"/>
  <c r="H10" i="1"/>
  <c r="H3" i="1"/>
  <c r="H8" i="1"/>
  <c r="B13" i="1" l="1"/>
  <c r="B14" i="1"/>
</calcChain>
</file>

<file path=xl/sharedStrings.xml><?xml version="1.0" encoding="utf-8"?>
<sst xmlns="http://schemas.openxmlformats.org/spreadsheetml/2006/main" count="32" uniqueCount="32">
  <si>
    <t>Rechnungsnummer</t>
  </si>
  <si>
    <t>Lieferant</t>
  </si>
  <si>
    <t>Rechnungsdatum</t>
  </si>
  <si>
    <t>Fälligkeitsdatum</t>
  </si>
  <si>
    <t>Zahlungsdatum</t>
  </si>
  <si>
    <t>Verzugstage</t>
  </si>
  <si>
    <t>Status</t>
  </si>
  <si>
    <t>Bemerkung</t>
  </si>
  <si>
    <t>Betrag(€)</t>
  </si>
  <si>
    <t>RE-2024-001</t>
  </si>
  <si>
    <t>Müller GmbH</t>
  </si>
  <si>
    <t>RE-2024-002</t>
  </si>
  <si>
    <t>Schmidt AG</t>
  </si>
  <si>
    <t>RE-2024-003</t>
  </si>
  <si>
    <t>Weber KG</t>
  </si>
  <si>
    <t>RE-2024-004</t>
  </si>
  <si>
    <t>RE-2024-005</t>
  </si>
  <si>
    <t>RE-2024-006</t>
  </si>
  <si>
    <t>RE-2024-007</t>
  </si>
  <si>
    <t>RE-2024-008</t>
  </si>
  <si>
    <t>RE-2024-009</t>
  </si>
  <si>
    <t>RE-2024-010</t>
  </si>
  <si>
    <t>Becker GmbH</t>
  </si>
  <si>
    <t>Fischer AG</t>
  </si>
  <si>
    <t>Hoffmann KG</t>
  </si>
  <si>
    <t>Braun GmbH</t>
  </si>
  <si>
    <t>Krause AG</t>
  </si>
  <si>
    <t>Wolf AG</t>
  </si>
  <si>
    <t>Neumann GmbH</t>
  </si>
  <si>
    <t>Gesamt offene
 Rechnungen</t>
  </si>
  <si>
    <t>Gesamtbetrag offen(€)</t>
  </si>
  <si>
    <t>Gesamtbetrag 
bezahlt(€)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</si>
</sst>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Standard" xfId="0" builtinId="0"/>
  </cellStyles>
  <dxfs count="3">
    <dxf>
      <fill>
        <patternFill>
          <bgColor rgb="FFFF0000"/>
        </patternFill>
      </fill>
    </dxf>
    <dxf>
      <fill>
        <patternFill patternType="solid">
          <bgColor rgb="FFFF99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99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FED41-3BC9-47C2-A320-CFEA8A02020D}" name="Tabelle1" displayName="Tabelle1" ref="A1:I15" totalsRowShown="0">
  <autoFilter ref="A1:I15" xr:uid="{EC2FED41-3BC9-47C2-A320-CFEA8A02020D}"/>
  <tableColumns count="9">
    <tableColumn id="1" xr3:uid="{9C67198B-7832-4730-85DC-461144FB5B2D}" name="Rechnungsnummer"/>
    <tableColumn id="2" xr3:uid="{3E41AC0C-FE51-4620-BA87-D39946A2C164}" name="Lieferant"/>
    <tableColumn id="3" xr3:uid="{2FB5C4C7-1B22-4E8C-A480-61211A4EA329}" name="Betrag(€)"/>
    <tableColumn id="4" xr3:uid="{749066FC-7B11-45F9-B35B-717440F80FA4}" name="Rechnungsdatum"/>
    <tableColumn id="5" xr3:uid="{5B46C278-7ED8-4DCE-8A4F-A4CFC4A36111}" name="Fälligkeitsdatum"/>
    <tableColumn id="6" xr3:uid="{F0DFC4EB-DE0D-42D4-A99C-48C8A69526B3}" name="Zahlungsdatum"/>
    <tableColumn id="7" xr3:uid="{80EFA3BB-D14D-417D-B553-D3B85B56CDA5}" name="Verzugstage"/>
    <tableColumn id="8" xr3:uid="{123E581D-0179-48AA-B5AB-F540C6D8F2A0}" name="Status"/>
    <tableColumn id="9" xr3:uid="{0DCC89E1-41A9-4821-BA18-A7E9DC286FC4}" name="Bemerkung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46A4-6C41-48CF-99A9-3B231BB47000}">
  <dimension ref="A1:I15"/>
  <sheetViews>
    <sheetView tabSelected="1" workbookViewId="0">
      <selection activeCell="J12" sqref="J12"/>
    </sheetView>
  </sheetViews>
  <sheetFormatPr baseColWidth="10" defaultRowHeight="14.5" x14ac:dyDescent="0.35"/>
  <cols>
    <col min="1" max="1" width="19.26953125" customWidth="1"/>
    <col min="2" max="2" width="14.1796875" customWidth="1"/>
    <col min="4" max="4" width="16.90625" customWidth="1"/>
    <col min="5" max="5" width="16.1796875" customWidth="1"/>
    <col min="6" max="6" width="15.1796875" customWidth="1"/>
    <col min="7" max="7" width="12.7265625" customWidth="1"/>
    <col min="8" max="8" width="16.08984375" customWidth="1"/>
    <col min="9" max="9" width="22.26953125" customWidth="1"/>
  </cols>
  <sheetData>
    <row r="1" spans="1:9" x14ac:dyDescent="0.35">
      <c r="A1" s="3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s="3" t="s">
        <v>9</v>
      </c>
      <c r="B2" t="s">
        <v>10</v>
      </c>
      <c r="C2">
        <v>2500</v>
      </c>
      <c r="D2" s="1">
        <v>45292</v>
      </c>
      <c r="E2" s="1">
        <v>45322</v>
      </c>
      <c r="F2" s="1">
        <v>45319</v>
      </c>
      <c r="G2">
        <f ca="1">IF(F2="",TODAY()-E2,F2-E2)</f>
        <v>-3</v>
      </c>
      <c r="H2" t="str">
        <f ca="1">IF(F2="","Offen",IF(G2&gt;0,"Verspätet bezahlt","Pünktlich bezahlt"))</f>
        <v>Pünktlich bezahlt</v>
      </c>
      <c r="I2" t="str">
        <f ca="1">IF(F2="","Zahlung ausstehend",IF(G2&gt;0," Bezahlt – "&amp;G2&amp;" Tage Verzug","Bezahlt – pünktlich"))</f>
        <v>Bezahlt – pünktlich</v>
      </c>
    </row>
    <row r="3" spans="1:9" x14ac:dyDescent="0.35">
      <c r="A3" s="3" t="s">
        <v>11</v>
      </c>
      <c r="B3" t="s">
        <v>12</v>
      </c>
      <c r="C3">
        <v>4800</v>
      </c>
      <c r="D3" s="1">
        <v>45296</v>
      </c>
      <c r="E3" s="1">
        <v>45326</v>
      </c>
      <c r="F3" s="1">
        <v>45332</v>
      </c>
      <c r="G3">
        <f t="shared" ref="G3:G10" ca="1" si="0">IF(F3="",TODAY()-E3,F3-E3)</f>
        <v>6</v>
      </c>
      <c r="H3" t="str">
        <f t="shared" ref="H3:H10" ca="1" si="1">IF(F3="","Offen",IF(G3&gt;0,"Verspätet bezahlt","Pünktlich bezahlt"))</f>
        <v>Verspätet bezahlt</v>
      </c>
      <c r="I3" t="str">
        <f t="shared" ref="I3:I10" ca="1" si="2">IF(F3="","Zahlung ausstehend",IF(G3&gt;0," Bezahlt – "&amp;G3&amp;" Tage Verzug","Bezahlt – pünktlich"))</f>
        <v xml:space="preserve"> Bezahlt – 6 Tage Verzug</v>
      </c>
    </row>
    <row r="4" spans="1:9" x14ac:dyDescent="0.35">
      <c r="A4" s="3" t="s">
        <v>13</v>
      </c>
      <c r="B4" t="s">
        <v>14</v>
      </c>
      <c r="C4">
        <v>1200</v>
      </c>
      <c r="D4" s="1">
        <v>45301</v>
      </c>
      <c r="E4" s="1">
        <v>45331</v>
      </c>
      <c r="F4" s="1">
        <v>45330</v>
      </c>
      <c r="G4">
        <f t="shared" ca="1" si="0"/>
        <v>-1</v>
      </c>
      <c r="H4" t="str">
        <f t="shared" ca="1" si="1"/>
        <v>Pünktlich bezahlt</v>
      </c>
      <c r="I4" t="str">
        <f t="shared" ca="1" si="2"/>
        <v>Bezahlt – pünktlich</v>
      </c>
    </row>
    <row r="5" spans="1:9" x14ac:dyDescent="0.35">
      <c r="A5" s="3" t="s">
        <v>15</v>
      </c>
      <c r="B5" t="s">
        <v>22</v>
      </c>
      <c r="C5">
        <v>3600</v>
      </c>
      <c r="D5" s="1">
        <v>45306</v>
      </c>
      <c r="E5" s="1">
        <v>45336</v>
      </c>
      <c r="G5">
        <f t="shared" ca="1" si="0"/>
        <v>840</v>
      </c>
      <c r="H5" t="str">
        <f t="shared" si="1"/>
        <v>Offen</v>
      </c>
      <c r="I5" t="str">
        <f t="shared" si="2"/>
        <v>Zahlung ausstehend</v>
      </c>
    </row>
    <row r="6" spans="1:9" x14ac:dyDescent="0.35">
      <c r="A6" s="3" t="s">
        <v>16</v>
      </c>
      <c r="B6" t="s">
        <v>23</v>
      </c>
      <c r="C6">
        <v>920</v>
      </c>
      <c r="D6" s="1">
        <v>45311</v>
      </c>
      <c r="E6" s="1">
        <v>45341</v>
      </c>
      <c r="F6" s="1">
        <v>45341</v>
      </c>
      <c r="G6">
        <f t="shared" ca="1" si="0"/>
        <v>0</v>
      </c>
      <c r="H6" t="str">
        <f t="shared" ca="1" si="1"/>
        <v>Pünktlich bezahlt</v>
      </c>
      <c r="I6" t="str">
        <f t="shared" ca="1" si="2"/>
        <v>Bezahlt – pünktlich</v>
      </c>
    </row>
    <row r="7" spans="1:9" x14ac:dyDescent="0.35">
      <c r="A7" s="3" t="s">
        <v>17</v>
      </c>
      <c r="B7" t="s">
        <v>24</v>
      </c>
      <c r="C7">
        <v>5400</v>
      </c>
      <c r="D7" s="1">
        <v>45316</v>
      </c>
      <c r="E7" s="1">
        <v>45347</v>
      </c>
      <c r="G7">
        <f t="shared" ca="1" si="0"/>
        <v>829</v>
      </c>
      <c r="H7" t="str">
        <f t="shared" si="1"/>
        <v>Offen</v>
      </c>
      <c r="I7" t="str">
        <f t="shared" si="2"/>
        <v>Zahlung ausstehend</v>
      </c>
    </row>
    <row r="8" spans="1:9" x14ac:dyDescent="0.35">
      <c r="A8" s="3" t="s">
        <v>18</v>
      </c>
      <c r="B8" t="s">
        <v>25</v>
      </c>
      <c r="C8">
        <v>2100</v>
      </c>
      <c r="D8" s="1">
        <v>45323</v>
      </c>
      <c r="E8" s="1">
        <v>45353</v>
      </c>
      <c r="F8" s="1">
        <v>45350</v>
      </c>
      <c r="G8">
        <f t="shared" ca="1" si="0"/>
        <v>-3</v>
      </c>
      <c r="H8" t="str">
        <f t="shared" ca="1" si="1"/>
        <v>Pünktlich bezahlt</v>
      </c>
      <c r="I8" t="str">
        <f t="shared" ca="1" si="2"/>
        <v>Bezahlt – pünktlich</v>
      </c>
    </row>
    <row r="9" spans="1:9" x14ac:dyDescent="0.35">
      <c r="A9" s="3" t="s">
        <v>19</v>
      </c>
      <c r="B9" t="s">
        <v>26</v>
      </c>
      <c r="C9">
        <v>3300</v>
      </c>
      <c r="D9" s="1">
        <v>45327</v>
      </c>
      <c r="E9" s="1">
        <v>45357</v>
      </c>
      <c r="G9">
        <f t="shared" ca="1" si="0"/>
        <v>819</v>
      </c>
      <c r="H9" t="str">
        <f t="shared" si="1"/>
        <v>Offen</v>
      </c>
      <c r="I9" t="str">
        <f t="shared" si="2"/>
        <v>Zahlung ausstehend</v>
      </c>
    </row>
    <row r="10" spans="1:9" x14ac:dyDescent="0.35">
      <c r="A10" s="3" t="s">
        <v>20</v>
      </c>
      <c r="B10" t="s">
        <v>27</v>
      </c>
      <c r="C10">
        <v>1800</v>
      </c>
      <c r="D10" s="1">
        <v>45332</v>
      </c>
      <c r="E10" s="1">
        <v>45362</v>
      </c>
      <c r="F10" s="1">
        <v>45366</v>
      </c>
      <c r="G10">
        <f t="shared" ca="1" si="0"/>
        <v>4</v>
      </c>
      <c r="H10" t="str">
        <f t="shared" ca="1" si="1"/>
        <v>Verspätet bezahlt</v>
      </c>
      <c r="I10" t="str">
        <f t="shared" ca="1" si="2"/>
        <v xml:space="preserve"> Bezahlt – 4 Tage Verzug</v>
      </c>
    </row>
    <row r="11" spans="1:9" x14ac:dyDescent="0.35">
      <c r="A11" s="3" t="s">
        <v>21</v>
      </c>
      <c r="B11" t="s">
        <v>28</v>
      </c>
      <c r="C11">
        <v>4200</v>
      </c>
      <c r="D11" s="1">
        <v>45337</v>
      </c>
      <c r="E11" s="1">
        <v>45367</v>
      </c>
    </row>
    <row r="13" spans="1:9" ht="29" x14ac:dyDescent="0.35">
      <c r="A13" s="2" t="s">
        <v>29</v>
      </c>
      <c r="B13">
        <f ca="1">COUNTIF(H2:H11,"offen")</f>
        <v>3</v>
      </c>
    </row>
    <row r="14" spans="1:9" x14ac:dyDescent="0.35">
      <c r="A14" s="3" t="s">
        <v>30</v>
      </c>
      <c r="B14">
        <f ca="1">SUMIF(H2:H11,"offen", C2:C11)</f>
        <v>12300</v>
      </c>
    </row>
    <row r="15" spans="1:9" ht="29" x14ac:dyDescent="0.35">
      <c r="A15" s="2" t="s">
        <v>31</v>
      </c>
      <c r="B15">
        <f ca="1">SUMIF(H2:H11,"Pünktlich bezahlt",C2:C11)+SUMIF(H2:H11,"Verspätet bezahlt",C2:C11)</f>
        <v>13320</v>
      </c>
    </row>
  </sheetData>
  <phoneticPr fontId="2" type="noConversion"/>
  <conditionalFormatting sqref="H2:H10">
    <cfRule type="cellIs" dxfId="2" priority="1" operator="equal">
      <formula>"Pünktlich bezahlt"</formula>
    </cfRule>
    <cfRule type="cellIs" dxfId="1" priority="2" operator="equal">
      <formula>"verspätet bezahlt"</formula>
    </cfRule>
    <cfRule type="cellIs" dxfId="0" priority="3" operator="equal">
      <formula>"offen"</formula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Rechnungstracker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Yvanelle Goune Temgoua</dc:creator>
  <cp:lastModifiedBy>Yvanelle Goune Temgoua</cp:lastModifiedBy>
  <dcterms:created xsi:type="dcterms:W3CDTF">2026-05-22T16:59:34Z</dcterms:created>
  <dcterms:modified xsi:type="dcterms:W3CDTF">2026-06-03T19:02:12Z</dcterms:modified>
</cp:coreProperties>
</file>